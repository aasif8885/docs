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3895" windowHeight="9975" activeTab="2"/>
  </bookViews>
  <sheets>
    <sheet name="January 2018" sheetId="1" r:id="rId1"/>
    <sheet name="February 2018" sheetId="4" r:id="rId2"/>
    <sheet name="March 2018" sheetId="5" r:id="rId3"/>
  </sheets>
  <calcPr calcId="124519"/>
</workbook>
</file>

<file path=xl/calcChain.xml><?xml version="1.0" encoding="utf-8"?>
<calcChain xmlns="http://schemas.openxmlformats.org/spreadsheetml/2006/main">
  <c r="E66" i="5"/>
  <c r="E9"/>
  <c r="E12" s="1"/>
  <c r="E13" s="1"/>
  <c r="E14" s="1"/>
  <c r="B66"/>
  <c r="E62"/>
  <c r="C66" s="1"/>
  <c r="A62"/>
  <c r="N4"/>
  <c r="E5" i="4"/>
  <c r="E8" s="1"/>
  <c r="E9" s="1"/>
  <c r="E10" s="1"/>
  <c r="B55"/>
  <c r="E51"/>
  <c r="C55" s="1"/>
  <c r="A51"/>
  <c r="N4"/>
  <c r="E42" i="1"/>
  <c r="D66" i="5" l="1"/>
  <c r="D55" i="4"/>
  <c r="E55" s="1"/>
  <c r="E51" i="1"/>
  <c r="E6"/>
  <c r="E9" s="1"/>
  <c r="E10" s="1"/>
  <c r="E11" s="1"/>
  <c r="N4"/>
  <c r="B42"/>
  <c r="E38"/>
  <c r="C42" s="1"/>
  <c r="A38"/>
  <c r="D42" l="1"/>
</calcChain>
</file>

<file path=xl/sharedStrings.xml><?xml version="1.0" encoding="utf-8"?>
<sst xmlns="http://schemas.openxmlformats.org/spreadsheetml/2006/main" count="568" uniqueCount="205">
  <si>
    <t>Monthly home expenses</t>
  </si>
  <si>
    <t>Value Date</t>
  </si>
  <si>
    <t>Transaction Date</t>
  </si>
  <si>
    <t>Cheque Number</t>
  </si>
  <si>
    <t>Transaction Remarks</t>
  </si>
  <si>
    <t>Withdrawal Amount (INR)</t>
  </si>
  <si>
    <t>17/12/2017</t>
  </si>
  <si>
    <t>18/12/2017</t>
  </si>
  <si>
    <t>-</t>
  </si>
  <si>
    <t>Expensed</t>
  </si>
  <si>
    <t>Already given to home</t>
  </si>
  <si>
    <t>Taken loan from home</t>
  </si>
  <si>
    <t>Need to deduct</t>
  </si>
  <si>
    <t>Rounding Need to deduct</t>
  </si>
  <si>
    <t>Need to Pay</t>
  </si>
  <si>
    <t>Given</t>
  </si>
  <si>
    <t>My Expenses</t>
  </si>
  <si>
    <t>03/12/2017</t>
  </si>
  <si>
    <t>04/12/2017</t>
  </si>
  <si>
    <t>16/12/2017</t>
  </si>
  <si>
    <t>In hand</t>
  </si>
  <si>
    <t>Home Pay</t>
  </si>
  <si>
    <t>Save</t>
  </si>
  <si>
    <t>Save Till Date</t>
  </si>
  <si>
    <t>Bablu' s Loan Details</t>
  </si>
  <si>
    <t>MMT/Ref733720683212/1212101000114</t>
  </si>
  <si>
    <t>MMT/Ref733720703077/32329608758</t>
  </si>
  <si>
    <t>VPS/MENS AVENUE/20171216164443/0</t>
  </si>
  <si>
    <t>VPS/ARVIND LIFE/20171218010930/0</t>
  </si>
  <si>
    <t>Total</t>
  </si>
  <si>
    <t>For Month January 2018</t>
  </si>
  <si>
    <t>Details</t>
  </si>
  <si>
    <t>From</t>
  </si>
  <si>
    <t>Date</t>
  </si>
  <si>
    <t>Amount</t>
  </si>
  <si>
    <t>Loan remain</t>
  </si>
  <si>
    <t>02/01/2018</t>
  </si>
  <si>
    <t>BIL/001364633635/PGMIB-Gala Spin/3AYAWRSZAQ0R9JU</t>
  </si>
  <si>
    <t>03/01/2018</t>
  </si>
  <si>
    <t>VPS/B K AUTOMOB/20180103123552/0</t>
  </si>
  <si>
    <t>05/01/2018</t>
  </si>
  <si>
    <t>UPI/800514105456/9029265645@upi</t>
  </si>
  <si>
    <t>06/01/2018</t>
  </si>
  <si>
    <t>VPS/MSW*SHIVSHA/20180106181135/0</t>
  </si>
  <si>
    <t>10/01/2018</t>
  </si>
  <si>
    <t>ACH/TP Dewan Housing Fin/1010212755</t>
  </si>
  <si>
    <t>DECS/TP ADITYABIRLA SUNLF/0001411252517</t>
  </si>
  <si>
    <t>13/01/2018</t>
  </si>
  <si>
    <t>15/01/2018</t>
  </si>
  <si>
    <t>VPS/MSW*SHIVSHA/20180113192227/0</t>
  </si>
  <si>
    <t>14/01/2018</t>
  </si>
  <si>
    <t>VPS/MHAISKAR IN/20180114131805/0</t>
  </si>
  <si>
    <t>VIN/PAYTM      /20180114150656/0</t>
  </si>
  <si>
    <t>IPS/MHAISKAR IN/20180114192101/0</t>
  </si>
  <si>
    <t>IPS/HPCL TAJE  /20180114193529/0</t>
  </si>
  <si>
    <t>IPS/KFC FoodHub/20180114201219/0</t>
  </si>
  <si>
    <t>20/01/2018</t>
  </si>
  <si>
    <t>BIL/001377025338/MSEBDec2017Bill/443440571</t>
  </si>
  <si>
    <t>21/01/2018</t>
  </si>
  <si>
    <t>22/01/2018</t>
  </si>
  <si>
    <t>UPI/802110536004/amankudalkar@icici</t>
  </si>
  <si>
    <t>VIN/PAYTM      /20180121104222/0</t>
  </si>
  <si>
    <t>VIN/BHARTI AIRT/20180121145348/0</t>
  </si>
  <si>
    <t>IPS/HP FUEL CEN/20180121221114/0</t>
  </si>
  <si>
    <t>BIL/001377767861/Loan/32329608758</t>
  </si>
  <si>
    <t>25/01/2018</t>
  </si>
  <si>
    <t>ATM/CASH WDL/25-01-18/0</t>
  </si>
  <si>
    <t>27/01/2018</t>
  </si>
  <si>
    <t>29/01/2018</t>
  </si>
  <si>
    <t>VPS/MSW*RAJ ENT/20180128001401/0</t>
  </si>
  <si>
    <t>28/01/2018</t>
  </si>
  <si>
    <t>VPS/KARACHI DUM/20180128130015/0</t>
  </si>
  <si>
    <t>IPS/OM PETROLEU/20180128135932/0</t>
  </si>
  <si>
    <t>30/01/2018</t>
  </si>
  <si>
    <t>VPS/SAI LEELA H/20180130130451/0</t>
  </si>
  <si>
    <t>NFS/CASH WDL/30-01-18</t>
  </si>
  <si>
    <t>31/01/2018</t>
  </si>
  <si>
    <t>BIL/001382641632/Jio1Mnth2GBRchg/RELIANCEJIO_LIC</t>
  </si>
  <si>
    <t>For Month February 2018</t>
  </si>
  <si>
    <t>04/02/2018</t>
  </si>
  <si>
    <t>05/02/2018</t>
  </si>
  <si>
    <t>VPS/HELPLINE ME/20180204002253/1</t>
  </si>
  <si>
    <t>NFS/CASH WDL/04-02-18</t>
  </si>
  <si>
    <t>IPS/MHAISKAR IN/20180204200642/0</t>
  </si>
  <si>
    <t>IPS/AUTO CARE C/20180204201226/0</t>
  </si>
  <si>
    <t>BIL/001387006171/D2HRchg/452522379</t>
  </si>
  <si>
    <t>06/02/2018</t>
  </si>
  <si>
    <t>VPS/MHAISKAR IN/20180206080320/0</t>
  </si>
  <si>
    <t>IPS/KFC FoodHub/20180206084524/0</t>
  </si>
  <si>
    <t>08/02/2018</t>
  </si>
  <si>
    <t>NFS/CASH WDL/08-02-18</t>
  </si>
  <si>
    <t>10/02/2018</t>
  </si>
  <si>
    <t>09/02/2018</t>
  </si>
  <si>
    <t>IIN/I-Debit/PayTM    /20180209180420</t>
  </si>
  <si>
    <t>12/02/2018</t>
  </si>
  <si>
    <t>VPS/MSW*SETHI A/20180210175740/0</t>
  </si>
  <si>
    <t>11/02/2018</t>
  </si>
  <si>
    <t>ATM/CASH WDL/11-02-18/0</t>
  </si>
  <si>
    <t>IPS/HP FUEL CEN/20180212072117/0</t>
  </si>
  <si>
    <t>BIL/001392102620/Asiya 1GB rchg/HTTPS://PAY.AIR</t>
  </si>
  <si>
    <t>BIL/001392104644/Asiya FTT rechg/AIRT01180201339</t>
  </si>
  <si>
    <t>DECS/TP ADITYABIRLA SUNLF/0001422082050</t>
  </si>
  <si>
    <t>BIL/001392325604/Jio2GBRchg/RELIANCEJIO_LIC</t>
  </si>
  <si>
    <t>ACH/TP Dewan Housing Fin/1011116914</t>
  </si>
  <si>
    <t>13/02/2018</t>
  </si>
  <si>
    <t>VPS/SAI LEELA H/20180213140114/0</t>
  </si>
  <si>
    <t>14/02/2018</t>
  </si>
  <si>
    <t>VPS/SAI LEELA H/20180214111457/0</t>
  </si>
  <si>
    <t>UPI/804513156755/amankudalkar@icici</t>
  </si>
  <si>
    <t>NFS/CASH WDL/14-02-18</t>
  </si>
  <si>
    <t>16/02/2018</t>
  </si>
  <si>
    <t>UPI/804714142076/amankudalkar@icici</t>
  </si>
  <si>
    <t>17/02/2018</t>
  </si>
  <si>
    <t>VIN/IBIBO Web P/20180217145156/0</t>
  </si>
  <si>
    <t>18/02/2018</t>
  </si>
  <si>
    <t>19/02/2018</t>
  </si>
  <si>
    <t>IIN/PAYTM      /20180218122826</t>
  </si>
  <si>
    <t>20/02/2018</t>
  </si>
  <si>
    <t>BIL/001396709684/Jan2018MSEB/MSEBMUM_LICI607</t>
  </si>
  <si>
    <t>UPI/805113713167/metkarimangesh@okicici</t>
  </si>
  <si>
    <t>BIL/001396864965/PGMIB-Jan2018Da/IDEACELLULAR_LI</t>
  </si>
  <si>
    <t>NFS/CASH WDL/20-02-18</t>
  </si>
  <si>
    <t>21/02/2018</t>
  </si>
  <si>
    <t>NFS/CASH WDL/21-02-18</t>
  </si>
  <si>
    <t>22/02/2018</t>
  </si>
  <si>
    <t>VPS/SAI LEELA H/20180222133747/0</t>
  </si>
  <si>
    <t>23/02/2018</t>
  </si>
  <si>
    <t>UPI/805411540054/9665624826@ybl</t>
  </si>
  <si>
    <t>UPI/805428875006/manoj.sherkhane@ybl</t>
  </si>
  <si>
    <t>UPI/805414918716/9665624826@ybl</t>
  </si>
  <si>
    <t>28/02/2018</t>
  </si>
  <si>
    <t>UPI/805914309580/metkarimangesh@okicici</t>
  </si>
  <si>
    <t>UPI/805914323899/amankudalkar@okicici</t>
  </si>
  <si>
    <t>For Month March 2018</t>
  </si>
  <si>
    <t>01/03/2018</t>
  </si>
  <si>
    <t>UPI/806013716491/9665624826@ybl</t>
  </si>
  <si>
    <t>UPI/806052827156/9665624826@ybl</t>
  </si>
  <si>
    <t>UPI/806013506723/metkarimangesh@okicici</t>
  </si>
  <si>
    <t>VPS/HELPLINE ME/20180301211616/0</t>
  </si>
  <si>
    <t>UPI/806022286270/BILDSK@ybl</t>
  </si>
  <si>
    <t>UPI/806022064091/billdesk.msedc@icici</t>
  </si>
  <si>
    <t>03/03/2018</t>
  </si>
  <si>
    <t>VPS/B K AUTOMOB/20180303113905/0</t>
  </si>
  <si>
    <t>UPI/806264973997/SAFEGOLD@ybl</t>
  </si>
  <si>
    <t>06/03/2018</t>
  </si>
  <si>
    <t>05/03/2018</t>
  </si>
  <si>
    <t>IIN/I-Debit/PayTM    /20180305111807</t>
  </si>
  <si>
    <t>IPS/D MART     /20180306130332/0</t>
  </si>
  <si>
    <t>08/03/2018</t>
  </si>
  <si>
    <t>VPS/SAI LEELA H/20180308133126/0</t>
  </si>
  <si>
    <t>VPS/HELPLINE ME/20180308212703/0</t>
  </si>
  <si>
    <t>09/03/2018</t>
  </si>
  <si>
    <t>VIN/PAYTM      /20180309144025/0</t>
  </si>
  <si>
    <t>UPI/806817406561/metkarimangesh@okicici</t>
  </si>
  <si>
    <t>12/03/2018</t>
  </si>
  <si>
    <t>ACH/TP Dewan Housing Fin/1011731487</t>
  </si>
  <si>
    <t>DECS/TP ADITYABIRLA SUNLF/0001432468475</t>
  </si>
  <si>
    <t>13/03/2018</t>
  </si>
  <si>
    <t>VIN/BHARTI AIRT/20180313102302/0</t>
  </si>
  <si>
    <t>UPI/807211819218/amazon@apl</t>
  </si>
  <si>
    <t>14/03/2018</t>
  </si>
  <si>
    <t>UPI/807313740870/metkarimangesh@okicici</t>
  </si>
  <si>
    <t>15/03/2018</t>
  </si>
  <si>
    <t>UPI/807414578345/metkarimangesh@okicici</t>
  </si>
  <si>
    <t>16/03/2018</t>
  </si>
  <si>
    <t>VPS/SAI LEELA H/20180316140655/0</t>
  </si>
  <si>
    <t>17/03/2018</t>
  </si>
  <si>
    <t>UPI/807611830861/amazon@apl</t>
  </si>
  <si>
    <t>18/03/2018</t>
  </si>
  <si>
    <t>19/03/2018</t>
  </si>
  <si>
    <t>VPS/HELPLINE ME/20180318204021/0</t>
  </si>
  <si>
    <t>VPS/SAI LEELA H/20180319134914/0</t>
  </si>
  <si>
    <t>20/03/2018</t>
  </si>
  <si>
    <t>UPI/807918542215/BILDSK@ybl</t>
  </si>
  <si>
    <t>UPI/807939984888/SAFEGOLD@ybl</t>
  </si>
  <si>
    <t>21/03/2018</t>
  </si>
  <si>
    <t>VPS/SAI LEELA H/20180321135112/0</t>
  </si>
  <si>
    <t>ATM/CASH WDL/21-03-18/0</t>
  </si>
  <si>
    <t>23/03/2018</t>
  </si>
  <si>
    <t>VPS/HELPLINE ME/20180323210325/0</t>
  </si>
  <si>
    <t>24/03/2018</t>
  </si>
  <si>
    <t>26/03/2018</t>
  </si>
  <si>
    <t>UPI/808315098510/UPI/amankudalkar@ok/ICICI Bank</t>
  </si>
  <si>
    <t>UPI/808315102362/UPI/amankudalkar@ok/ICICI Bank</t>
  </si>
  <si>
    <t>NFS/CASH WDL/24-03-18</t>
  </si>
  <si>
    <t>VIN/VIDEOCOND2H/20180326093309/0</t>
  </si>
  <si>
    <t>UPI/808513959227/ABLR7/ablr7@yesbank/Yes Bank Ltd</t>
  </si>
  <si>
    <t>27/03/2018</t>
  </si>
  <si>
    <t>UPI/808636543924/Payment from Ph/BILDSK@ybl/Yes B</t>
  </si>
  <si>
    <t>UPI/808613989051/UPI/metkarimangesh@/Andhra Prade</t>
  </si>
  <si>
    <t>28/03/2018</t>
  </si>
  <si>
    <t>NFS/CASH WDL/28-03-18</t>
  </si>
  <si>
    <t>UPI/808713882991/Oid 4869232020@/paytm@icici/ICIC</t>
  </si>
  <si>
    <t>29/03/2018</t>
  </si>
  <si>
    <t>UPI/808814149766/UPI/metkarimangesh@/Andhra Prade</t>
  </si>
  <si>
    <t>30/03/2018</t>
  </si>
  <si>
    <t>UPI/808908624054/UPI/psagar.1985@oka/HSBC</t>
  </si>
  <si>
    <t>UPI/808910427263/Request from Am/amazon@apl/Axis</t>
  </si>
  <si>
    <t>UPI/808916433887/UPI/amankudalkar@ok/ICICI Bank</t>
  </si>
  <si>
    <t>UPI/808916530045/shagunReturns/shalu.narayan09/HD</t>
  </si>
  <si>
    <t>31/03/2018</t>
  </si>
  <si>
    <t>UPI/809013351783/UPI/billdesk.msedc@/ICICI Bank</t>
  </si>
  <si>
    <t>UPI/809052757207/Payment from Ph/BILDSK@ybl/Yes B</t>
  </si>
  <si>
    <t>VPS/SAI LEELA H/20180331134438/0</t>
  </si>
  <si>
    <t>BIL/001422119957/ICICI BANK BBPS VIA/BBPMSEDC_000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</si>
</sst>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72"/>
      <name val="SansSerif"/>
    </font>
    <font>
      <b/>
      <sz val="10"/>
      <name val="SansSerif"/>
    </font>
  </fonts>
  <fills count="12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2" xfId="0" applyNumberFormat="1" applyFont="1" applyFill="1" applyBorder="1" applyAlignment="1" applyProtection="1">
      <alignment horizontal="center" vertical="top" wrapText="1"/>
    </xf>
    <xf numFmtId="0" fontId="3" fillId="4" borderId="2" xfId="0" applyNumberFormat="1" applyFont="1" applyFill="1" applyBorder="1" applyAlignment="1" applyProtection="1">
      <alignment horizontal="left" vertical="top" wrapText="1"/>
    </xf>
    <xf numFmtId="0" fontId="3" fillId="4" borderId="2" xfId="0" applyNumberFormat="1" applyFont="1" applyFill="1" applyBorder="1" applyAlignment="1" applyProtection="1">
      <alignment horizontal="right" vertical="top" wrapText="1"/>
    </xf>
    <xf numFmtId="0" fontId="0" fillId="6" borderId="1" xfId="0" applyFill="1" applyBorder="1"/>
    <xf numFmtId="0" fontId="0" fillId="6" borderId="1" xfId="0" applyNumberFormat="1" applyFill="1" applyBorder="1"/>
    <xf numFmtId="4" fontId="0" fillId="6" borderId="1" xfId="0" applyNumberFormat="1" applyFill="1" applyBorder="1"/>
    <xf numFmtId="0" fontId="0" fillId="5" borderId="1" xfId="0" applyFill="1" applyBorder="1"/>
    <xf numFmtId="4" fontId="0" fillId="5" borderId="1" xfId="0" applyNumberFormat="1" applyFill="1" applyBorder="1"/>
    <xf numFmtId="0" fontId="0" fillId="7" borderId="1" xfId="0" applyFill="1" applyBorder="1"/>
    <xf numFmtId="4" fontId="0" fillId="7" borderId="1" xfId="0" applyNumberFormat="1" applyFill="1" applyBorder="1"/>
    <xf numFmtId="4" fontId="2" fillId="7" borderId="1" xfId="0" applyNumberFormat="1" applyFont="1" applyFill="1" applyBorder="1"/>
    <xf numFmtId="0" fontId="2" fillId="8" borderId="1" xfId="0" applyFont="1" applyFill="1" applyBorder="1"/>
    <xf numFmtId="4" fontId="2" fillId="8" borderId="1" xfId="0" applyNumberFormat="1" applyFont="1" applyFill="1" applyBorder="1"/>
    <xf numFmtId="0" fontId="2" fillId="6" borderId="1" xfId="0" applyFont="1" applyFill="1" applyBorder="1"/>
    <xf numFmtId="4" fontId="2" fillId="6" borderId="1" xfId="0" applyNumberFormat="1" applyFont="1" applyFill="1" applyBorder="1"/>
    <xf numFmtId="0" fontId="2" fillId="0" borderId="1" xfId="0" applyFont="1" applyBorder="1"/>
    <xf numFmtId="0" fontId="2" fillId="9" borderId="1" xfId="0" applyFont="1" applyFill="1" applyBorder="1"/>
    <xf numFmtId="4" fontId="0" fillId="0" borderId="1" xfId="0" applyNumberFormat="1" applyBorder="1"/>
    <xf numFmtId="4" fontId="0" fillId="10" borderId="3" xfId="0" applyNumberFormat="1" applyFill="1" applyBorder="1"/>
    <xf numFmtId="0" fontId="3" fillId="4" borderId="4" xfId="0" applyNumberFormat="1" applyFont="1" applyFill="1" applyBorder="1" applyAlignment="1" applyProtection="1">
      <alignment horizontal="center" vertical="top" wrapText="1"/>
    </xf>
    <xf numFmtId="0" fontId="3" fillId="4" borderId="4" xfId="0" applyNumberFormat="1" applyFont="1" applyFill="1" applyBorder="1" applyAlignment="1" applyProtection="1">
      <alignment horizontal="left" vertical="top" wrapText="1"/>
    </xf>
    <xf numFmtId="0" fontId="3" fillId="4" borderId="4" xfId="0" applyNumberFormat="1" applyFont="1" applyFill="1" applyBorder="1" applyAlignment="1" applyProtection="1">
      <alignment horizontal="right" vertical="top" wrapText="1"/>
    </xf>
    <xf numFmtId="0" fontId="2" fillId="11" borderId="1" xfId="0" applyFont="1" applyFill="1" applyBorder="1"/>
    <xf numFmtId="0" fontId="0" fillId="0" borderId="1" xfId="0" applyBorder="1"/>
    <xf numFmtId="14" fontId="0" fillId="0" borderId="1" xfId="0" applyNumberFormat="1" applyBorder="1"/>
    <xf numFmtId="0" fontId="2" fillId="3" borderId="1" xfId="0" applyFont="1" applyFill="1" applyBorder="1" applyAlignment="1">
      <alignment horizontal="center"/>
    </xf>
    <xf numFmtId="15" fontId="0" fillId="0" borderId="1" xfId="0" applyNumberFormat="1" applyBorder="1"/>
    <xf numFmtId="0" fontId="2" fillId="9" borderId="1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4" fillId="5" borderId="1" xfId="0" applyNumberFormat="1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topLeftCell="A22" workbookViewId="0">
      <selection activeCell="E42" sqref="E42"/>
    </sheetView>
  </sheetViews>
  <sheetFormatPr defaultRowHeight="14.25" customHeight="1"/>
  <cols>
    <col min="1" max="1" width="10.7109375" bestFit="1" customWidth="1"/>
    <col min="2" max="2" width="15.85546875" bestFit="1" customWidth="1"/>
    <col min="3" max="3" width="15.7109375" bestFit="1" customWidth="1"/>
    <col min="4" max="4" width="24" bestFit="1" customWidth="1"/>
    <col min="5" max="5" width="24.42578125" bestFit="1" customWidth="1"/>
    <col min="7" max="7" width="7.140625" bestFit="1" customWidth="1"/>
    <col min="8" max="8" width="5.5703125" bestFit="1" customWidth="1"/>
    <col min="9" max="9" width="10.7109375" bestFit="1" customWidth="1"/>
    <col min="10" max="10" width="8.140625" bestFit="1" customWidth="1"/>
    <col min="11" max="11" width="11.85546875" bestFit="1" customWidth="1"/>
    <col min="13" max="13" width="11.42578125" customWidth="1"/>
    <col min="14" max="14" width="17.7109375" customWidth="1"/>
  </cols>
  <sheetData>
    <row r="1" spans="1:14" ht="14.25" customHeight="1">
      <c r="A1" s="32" t="s">
        <v>0</v>
      </c>
      <c r="B1" s="32"/>
      <c r="C1" s="32"/>
      <c r="D1" s="32"/>
      <c r="E1" s="32"/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M1" s="30" t="s">
        <v>10</v>
      </c>
      <c r="N1" s="31"/>
    </row>
    <row r="2" spans="1:14" ht="14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G2" s="25"/>
      <c r="H2" s="25"/>
      <c r="I2" s="26"/>
      <c r="J2" s="25"/>
      <c r="K2" s="25"/>
      <c r="M2" s="27" t="s">
        <v>33</v>
      </c>
      <c r="N2" s="27" t="s">
        <v>34</v>
      </c>
    </row>
    <row r="3" spans="1:14" ht="14.25" customHeight="1">
      <c r="A3" s="2" t="s">
        <v>36</v>
      </c>
      <c r="B3" s="2" t="s">
        <v>36</v>
      </c>
      <c r="C3" s="3" t="s">
        <v>8</v>
      </c>
      <c r="D3" s="3" t="s">
        <v>37</v>
      </c>
      <c r="E3" s="4">
        <v>1799</v>
      </c>
      <c r="G3" s="25"/>
      <c r="H3" s="25"/>
      <c r="I3" s="26"/>
      <c r="J3" s="25"/>
      <c r="K3" s="25"/>
      <c r="M3" s="28"/>
      <c r="N3" s="25"/>
    </row>
    <row r="4" spans="1:14" ht="14.25" customHeight="1">
      <c r="A4" s="2" t="s">
        <v>56</v>
      </c>
      <c r="B4" s="2" t="s">
        <v>56</v>
      </c>
      <c r="C4" s="3" t="s">
        <v>8</v>
      </c>
      <c r="D4" s="3" t="s">
        <v>57</v>
      </c>
      <c r="E4" s="4">
        <v>490</v>
      </c>
      <c r="M4" s="29" t="s">
        <v>29</v>
      </c>
      <c r="N4" s="17">
        <f>SUM(N3:N3)</f>
        <v>0</v>
      </c>
    </row>
    <row r="5" spans="1:14" ht="14.25" customHeight="1">
      <c r="A5" s="2" t="s">
        <v>58</v>
      </c>
      <c r="B5" s="2" t="s">
        <v>59</v>
      </c>
      <c r="C5" s="3" t="s">
        <v>8</v>
      </c>
      <c r="D5" s="3" t="s">
        <v>61</v>
      </c>
      <c r="E5" s="4">
        <v>276.8</v>
      </c>
    </row>
    <row r="6" spans="1:14" ht="14.25" customHeight="1">
      <c r="A6" s="33" t="s">
        <v>30</v>
      </c>
      <c r="B6" s="33"/>
      <c r="C6" s="33"/>
      <c r="D6" s="5" t="s">
        <v>9</v>
      </c>
      <c r="E6" s="6">
        <f>SUM(E3:E5)</f>
        <v>2565.8000000000002</v>
      </c>
    </row>
    <row r="7" spans="1:14" ht="14.25" customHeight="1">
      <c r="A7" s="33"/>
      <c r="B7" s="33"/>
      <c r="C7" s="33"/>
      <c r="D7" s="5" t="s">
        <v>10</v>
      </c>
      <c r="E7" s="7">
        <v>0</v>
      </c>
    </row>
    <row r="8" spans="1:14" ht="14.25" customHeight="1">
      <c r="A8" s="33"/>
      <c r="B8" s="33"/>
      <c r="C8" s="33"/>
      <c r="D8" s="8" t="s">
        <v>11</v>
      </c>
      <c r="E8" s="9">
        <v>0</v>
      </c>
    </row>
    <row r="9" spans="1:14" ht="14.25" customHeight="1">
      <c r="A9" s="33"/>
      <c r="B9" s="33"/>
      <c r="C9" s="33"/>
      <c r="D9" s="10" t="s">
        <v>12</v>
      </c>
      <c r="E9" s="11">
        <f>(E6+E7)-E8</f>
        <v>2565.8000000000002</v>
      </c>
    </row>
    <row r="10" spans="1:14" ht="14.25" customHeight="1">
      <c r="A10" s="33"/>
      <c r="B10" s="33"/>
      <c r="C10" s="33"/>
      <c r="D10" s="5" t="s">
        <v>13</v>
      </c>
      <c r="E10" s="7">
        <f>ROUNDUP(E9,0)</f>
        <v>2566</v>
      </c>
    </row>
    <row r="11" spans="1:14" ht="14.25" customHeight="1">
      <c r="A11" s="33"/>
      <c r="B11" s="33"/>
      <c r="C11" s="33"/>
      <c r="D11" s="10" t="s">
        <v>14</v>
      </c>
      <c r="E11" s="12">
        <f>26000-E10</f>
        <v>23434</v>
      </c>
    </row>
    <row r="12" spans="1:14" ht="14.25" customHeight="1">
      <c r="A12" s="33"/>
      <c r="B12" s="33"/>
      <c r="C12" s="33"/>
      <c r="D12" s="13" t="s">
        <v>15</v>
      </c>
      <c r="E12" s="14">
        <v>23500</v>
      </c>
    </row>
    <row r="15" spans="1:14" ht="14.25" customHeight="1">
      <c r="A15" s="32" t="s">
        <v>16</v>
      </c>
      <c r="B15" s="32"/>
      <c r="C15" s="32"/>
      <c r="D15" s="32"/>
      <c r="E15" s="32"/>
    </row>
    <row r="16" spans="1:14" ht="14.25" customHeight="1">
      <c r="A16" s="1" t="s">
        <v>1</v>
      </c>
      <c r="B16" s="1" t="s">
        <v>2</v>
      </c>
      <c r="C16" s="1" t="s">
        <v>3</v>
      </c>
      <c r="D16" s="1" t="s">
        <v>4</v>
      </c>
      <c r="E16" s="1" t="s">
        <v>5</v>
      </c>
    </row>
    <row r="17" spans="1:5" ht="14.25" customHeight="1">
      <c r="A17" s="2" t="s">
        <v>38</v>
      </c>
      <c r="B17" s="2" t="s">
        <v>38</v>
      </c>
      <c r="C17" s="3" t="s">
        <v>8</v>
      </c>
      <c r="D17" s="3" t="s">
        <v>39</v>
      </c>
      <c r="E17" s="4">
        <v>1050.97</v>
      </c>
    </row>
    <row r="18" spans="1:5" ht="14.25" customHeight="1">
      <c r="A18" s="2" t="s">
        <v>40</v>
      </c>
      <c r="B18" s="2" t="s">
        <v>40</v>
      </c>
      <c r="C18" s="3" t="s">
        <v>8</v>
      </c>
      <c r="D18" s="3" t="s">
        <v>41</v>
      </c>
      <c r="E18" s="4">
        <v>250</v>
      </c>
    </row>
    <row r="19" spans="1:5" ht="14.25" customHeight="1">
      <c r="A19" s="2" t="s">
        <v>42</v>
      </c>
      <c r="B19" s="2" t="s">
        <v>42</v>
      </c>
      <c r="C19" s="3" t="s">
        <v>8</v>
      </c>
      <c r="D19" s="3" t="s">
        <v>43</v>
      </c>
      <c r="E19" s="4">
        <v>673</v>
      </c>
    </row>
    <row r="20" spans="1:5" ht="14.25" customHeight="1">
      <c r="A20" s="2" t="s">
        <v>44</v>
      </c>
      <c r="B20" s="2" t="s">
        <v>44</v>
      </c>
      <c r="C20" s="3" t="s">
        <v>8</v>
      </c>
      <c r="D20" s="3" t="s">
        <v>45</v>
      </c>
      <c r="E20" s="4">
        <v>19803</v>
      </c>
    </row>
    <row r="21" spans="1:5" ht="14.25" customHeight="1">
      <c r="A21" s="2" t="s">
        <v>44</v>
      </c>
      <c r="B21" s="2" t="s">
        <v>44</v>
      </c>
      <c r="C21" s="3" t="s">
        <v>8</v>
      </c>
      <c r="D21" s="3" t="s">
        <v>46</v>
      </c>
      <c r="E21" s="4">
        <v>2965.84</v>
      </c>
    </row>
    <row r="22" spans="1:5" ht="14.25" customHeight="1">
      <c r="A22" s="2" t="s">
        <v>47</v>
      </c>
      <c r="B22" s="2" t="s">
        <v>48</v>
      </c>
      <c r="C22" s="3" t="s">
        <v>8</v>
      </c>
      <c r="D22" s="3" t="s">
        <v>49</v>
      </c>
      <c r="E22" s="4">
        <v>300</v>
      </c>
    </row>
    <row r="23" spans="1:5" ht="14.25" customHeight="1">
      <c r="A23" s="2" t="s">
        <v>50</v>
      </c>
      <c r="B23" s="2" t="s">
        <v>48</v>
      </c>
      <c r="C23" s="3" t="s">
        <v>8</v>
      </c>
      <c r="D23" s="3" t="s">
        <v>51</v>
      </c>
      <c r="E23" s="4">
        <v>230</v>
      </c>
    </row>
    <row r="24" spans="1:5" ht="14.25" customHeight="1">
      <c r="A24" s="2" t="s">
        <v>50</v>
      </c>
      <c r="B24" s="2" t="s">
        <v>48</v>
      </c>
      <c r="C24" s="3" t="s">
        <v>8</v>
      </c>
      <c r="D24" s="3" t="s">
        <v>52</v>
      </c>
      <c r="E24" s="4">
        <v>633</v>
      </c>
    </row>
    <row r="25" spans="1:5" ht="14.25" customHeight="1">
      <c r="A25" s="2" t="s">
        <v>50</v>
      </c>
      <c r="B25" s="2" t="s">
        <v>48</v>
      </c>
      <c r="C25" s="3" t="s">
        <v>8</v>
      </c>
      <c r="D25" s="3" t="s">
        <v>53</v>
      </c>
      <c r="E25" s="4">
        <v>230</v>
      </c>
    </row>
    <row r="26" spans="1:5" ht="14.25" customHeight="1">
      <c r="A26" s="2" t="s">
        <v>50</v>
      </c>
      <c r="B26" s="2" t="s">
        <v>48</v>
      </c>
      <c r="C26" s="3" t="s">
        <v>8</v>
      </c>
      <c r="D26" s="3" t="s">
        <v>54</v>
      </c>
      <c r="E26" s="4">
        <v>1399.94</v>
      </c>
    </row>
    <row r="27" spans="1:5" ht="14.25" customHeight="1">
      <c r="A27" s="2" t="s">
        <v>50</v>
      </c>
      <c r="B27" s="2" t="s">
        <v>48</v>
      </c>
      <c r="C27" s="3" t="s">
        <v>8</v>
      </c>
      <c r="D27" s="3" t="s">
        <v>55</v>
      </c>
      <c r="E27" s="4">
        <v>245.08</v>
      </c>
    </row>
    <row r="28" spans="1:5" ht="14.25" customHeight="1">
      <c r="A28" s="2" t="s">
        <v>58</v>
      </c>
      <c r="B28" s="2" t="s">
        <v>59</v>
      </c>
      <c r="C28" s="3" t="s">
        <v>8</v>
      </c>
      <c r="D28" s="3" t="s">
        <v>60</v>
      </c>
      <c r="E28" s="4">
        <v>236.66</v>
      </c>
    </row>
    <row r="29" spans="1:5" ht="14.25" customHeight="1">
      <c r="A29" s="2" t="s">
        <v>58</v>
      </c>
      <c r="B29" s="2" t="s">
        <v>59</v>
      </c>
      <c r="C29" s="3" t="s">
        <v>8</v>
      </c>
      <c r="D29" s="3" t="s">
        <v>62</v>
      </c>
      <c r="E29" s="4">
        <v>98</v>
      </c>
    </row>
    <row r="30" spans="1:5" ht="14.25" customHeight="1">
      <c r="A30" s="2" t="s">
        <v>58</v>
      </c>
      <c r="B30" s="2" t="s">
        <v>59</v>
      </c>
      <c r="C30" s="3" t="s">
        <v>8</v>
      </c>
      <c r="D30" s="3" t="s">
        <v>63</v>
      </c>
      <c r="E30" s="4">
        <v>844.23</v>
      </c>
    </row>
    <row r="31" spans="1:5" ht="14.25" customHeight="1">
      <c r="A31" s="2" t="s">
        <v>65</v>
      </c>
      <c r="B31" s="2" t="s">
        <v>65</v>
      </c>
      <c r="C31" s="3" t="s">
        <v>8</v>
      </c>
      <c r="D31" s="3" t="s">
        <v>66</v>
      </c>
      <c r="E31" s="4">
        <v>2500</v>
      </c>
    </row>
    <row r="32" spans="1:5" ht="14.25" customHeight="1">
      <c r="A32" s="2" t="s">
        <v>67</v>
      </c>
      <c r="B32" s="2" t="s">
        <v>68</v>
      </c>
      <c r="C32" s="3" t="s">
        <v>8</v>
      </c>
      <c r="D32" s="3" t="s">
        <v>69</v>
      </c>
      <c r="E32" s="4">
        <v>3600</v>
      </c>
    </row>
    <row r="33" spans="1:5" ht="14.25" customHeight="1">
      <c r="A33" s="2" t="s">
        <v>70</v>
      </c>
      <c r="B33" s="2" t="s">
        <v>68</v>
      </c>
      <c r="C33" s="3" t="s">
        <v>8</v>
      </c>
      <c r="D33" s="3" t="s">
        <v>71</v>
      </c>
      <c r="E33" s="4">
        <v>835</v>
      </c>
    </row>
    <row r="34" spans="1:5" ht="14.25" customHeight="1">
      <c r="A34" s="2" t="s">
        <v>70</v>
      </c>
      <c r="B34" s="2" t="s">
        <v>68</v>
      </c>
      <c r="C34" s="3" t="s">
        <v>8</v>
      </c>
      <c r="D34" s="3" t="s">
        <v>72</v>
      </c>
      <c r="E34" s="4">
        <v>870</v>
      </c>
    </row>
    <row r="35" spans="1:5" ht="14.25" customHeight="1">
      <c r="A35" s="2" t="s">
        <v>73</v>
      </c>
      <c r="B35" s="2" t="s">
        <v>73</v>
      </c>
      <c r="C35" s="3" t="s">
        <v>8</v>
      </c>
      <c r="D35" s="3" t="s">
        <v>74</v>
      </c>
      <c r="E35" s="4">
        <v>280</v>
      </c>
    </row>
    <row r="36" spans="1:5" ht="14.25" customHeight="1">
      <c r="A36" s="2" t="s">
        <v>73</v>
      </c>
      <c r="B36" s="2" t="s">
        <v>73</v>
      </c>
      <c r="C36" s="3" t="s">
        <v>8</v>
      </c>
      <c r="D36" s="3" t="s">
        <v>75</v>
      </c>
      <c r="E36" s="4">
        <v>2000</v>
      </c>
    </row>
    <row r="37" spans="1:5" ht="14.25" customHeight="1">
      <c r="A37" s="2" t="s">
        <v>76</v>
      </c>
      <c r="B37" s="2" t="s">
        <v>76</v>
      </c>
      <c r="C37" s="3" t="s">
        <v>8</v>
      </c>
      <c r="D37" s="3" t="s">
        <v>77</v>
      </c>
      <c r="E37" s="4">
        <v>98</v>
      </c>
    </row>
    <row r="38" spans="1:5" ht="14.25" customHeight="1">
      <c r="A38" s="33" t="str">
        <f>A6</f>
        <v>For Month January 2018</v>
      </c>
      <c r="B38" s="33"/>
      <c r="C38" s="33"/>
      <c r="D38" s="15" t="s">
        <v>9</v>
      </c>
      <c r="E38" s="16">
        <f>SUM(E17:E37)</f>
        <v>39142.720000000001</v>
      </c>
    </row>
    <row r="41" spans="1:5" ht="14.25" customHeight="1">
      <c r="A41" s="17" t="s">
        <v>20</v>
      </c>
      <c r="B41" s="17" t="s">
        <v>21</v>
      </c>
      <c r="C41" s="17" t="s">
        <v>16</v>
      </c>
      <c r="D41" s="18" t="s">
        <v>22</v>
      </c>
      <c r="E41" s="18" t="s">
        <v>23</v>
      </c>
    </row>
    <row r="42" spans="1:5" ht="14.25" customHeight="1">
      <c r="A42" s="4">
        <v>96920</v>
      </c>
      <c r="B42" s="19">
        <f>E12</f>
        <v>23500</v>
      </c>
      <c r="C42" s="20">
        <f>E38</f>
        <v>39142.720000000001</v>
      </c>
      <c r="D42" s="15">
        <f>A42-(B42+C42)</f>
        <v>34277.279999999999</v>
      </c>
      <c r="E42" s="24">
        <f>D42+166105.65</f>
        <v>200382.93</v>
      </c>
    </row>
    <row r="44" spans="1:5" ht="14.25" customHeight="1">
      <c r="A44" s="32" t="s">
        <v>24</v>
      </c>
      <c r="B44" s="32"/>
      <c r="C44" s="32"/>
      <c r="D44" s="32"/>
      <c r="E44" s="32"/>
    </row>
    <row r="45" spans="1:5" ht="14.25" customHeight="1">
      <c r="A45" s="1" t="s">
        <v>1</v>
      </c>
      <c r="B45" s="1" t="s">
        <v>2</v>
      </c>
      <c r="C45" s="1" t="s">
        <v>3</v>
      </c>
      <c r="D45" s="1" t="s">
        <v>4</v>
      </c>
      <c r="E45" s="1" t="s">
        <v>5</v>
      </c>
    </row>
    <row r="46" spans="1:5" ht="14.25" customHeight="1">
      <c r="A46" s="2" t="s">
        <v>17</v>
      </c>
      <c r="B46" s="2" t="s">
        <v>18</v>
      </c>
      <c r="C46" s="3" t="s">
        <v>8</v>
      </c>
      <c r="D46" s="3" t="s">
        <v>25</v>
      </c>
      <c r="E46" s="4">
        <v>12000</v>
      </c>
    </row>
    <row r="47" spans="1:5" ht="14.25" customHeight="1">
      <c r="A47" s="2" t="s">
        <v>17</v>
      </c>
      <c r="B47" s="2" t="s">
        <v>18</v>
      </c>
      <c r="C47" s="3" t="s">
        <v>8</v>
      </c>
      <c r="D47" s="3" t="s">
        <v>26</v>
      </c>
      <c r="E47" s="4">
        <v>43000</v>
      </c>
    </row>
    <row r="48" spans="1:5" ht="14.25" customHeight="1">
      <c r="A48" s="2" t="s">
        <v>19</v>
      </c>
      <c r="B48" s="2" t="s">
        <v>19</v>
      </c>
      <c r="C48" s="3" t="s">
        <v>8</v>
      </c>
      <c r="D48" s="3" t="s">
        <v>27</v>
      </c>
      <c r="E48" s="4">
        <v>4980</v>
      </c>
    </row>
    <row r="49" spans="1:5" ht="14.25" customHeight="1">
      <c r="A49" s="21" t="s">
        <v>6</v>
      </c>
      <c r="B49" s="21" t="s">
        <v>7</v>
      </c>
      <c r="C49" s="22" t="s">
        <v>8</v>
      </c>
      <c r="D49" s="22" t="s">
        <v>28</v>
      </c>
      <c r="E49" s="23">
        <v>3742</v>
      </c>
    </row>
    <row r="50" spans="1:5" ht="14.25" customHeight="1">
      <c r="A50" s="2" t="s">
        <v>59</v>
      </c>
      <c r="B50" s="2" t="s">
        <v>59</v>
      </c>
      <c r="C50" s="3" t="s">
        <v>8</v>
      </c>
      <c r="D50" s="3" t="s">
        <v>64</v>
      </c>
      <c r="E50" s="4">
        <v>2000</v>
      </c>
    </row>
    <row r="51" spans="1:5" ht="14.25" customHeight="1">
      <c r="A51" s="34" t="s">
        <v>29</v>
      </c>
      <c r="B51" s="34"/>
      <c r="C51" s="34"/>
      <c r="D51" s="34"/>
      <c r="E51" s="24">
        <f>SUM(E46:E50)</f>
        <v>65722</v>
      </c>
    </row>
  </sheetData>
  <mergeCells count="7">
    <mergeCell ref="A44:E44"/>
    <mergeCell ref="A51:D51"/>
    <mergeCell ref="M1:N1"/>
    <mergeCell ref="A1:E1"/>
    <mergeCell ref="A6:C12"/>
    <mergeCell ref="A15:E15"/>
    <mergeCell ref="A38:C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5"/>
  <sheetViews>
    <sheetView topLeftCell="A31" workbookViewId="0">
      <selection activeCell="C61" sqref="C61"/>
    </sheetView>
  </sheetViews>
  <sheetFormatPr defaultRowHeight="14.25" customHeight="1"/>
  <cols>
    <col min="1" max="1" width="10.7109375" bestFit="1" customWidth="1"/>
    <col min="2" max="2" width="15.85546875" bestFit="1" customWidth="1"/>
    <col min="3" max="3" width="15.7109375" bestFit="1" customWidth="1"/>
    <col min="4" max="4" width="24" bestFit="1" customWidth="1"/>
    <col min="5" max="5" width="24.42578125" bestFit="1" customWidth="1"/>
    <col min="7" max="7" width="7.140625" bestFit="1" customWidth="1"/>
    <col min="8" max="8" width="5.5703125" bestFit="1" customWidth="1"/>
    <col min="9" max="9" width="10.7109375" bestFit="1" customWidth="1"/>
    <col min="10" max="10" width="8.140625" bestFit="1" customWidth="1"/>
    <col min="11" max="11" width="11.85546875" bestFit="1" customWidth="1"/>
    <col min="13" max="13" width="11.42578125" customWidth="1"/>
    <col min="14" max="14" width="17.7109375" customWidth="1"/>
  </cols>
  <sheetData>
    <row r="1" spans="1:14" ht="14.25" customHeight="1">
      <c r="A1" s="32" t="s">
        <v>0</v>
      </c>
      <c r="B1" s="32"/>
      <c r="C1" s="32"/>
      <c r="D1" s="32"/>
      <c r="E1" s="32"/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M1" s="30" t="s">
        <v>10</v>
      </c>
      <c r="N1" s="31"/>
    </row>
    <row r="2" spans="1:14" ht="14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G2" s="25"/>
      <c r="H2" s="25"/>
      <c r="I2" s="26"/>
      <c r="J2" s="25"/>
      <c r="K2" s="25"/>
      <c r="M2" s="27" t="s">
        <v>33</v>
      </c>
      <c r="N2" s="27" t="s">
        <v>34</v>
      </c>
    </row>
    <row r="3" spans="1:14" ht="14.25" customHeight="1">
      <c r="A3" s="2" t="s">
        <v>117</v>
      </c>
      <c r="B3" s="2" t="s">
        <v>117</v>
      </c>
      <c r="C3" s="3" t="s">
        <v>8</v>
      </c>
      <c r="D3" s="3" t="s">
        <v>118</v>
      </c>
      <c r="E3" s="4">
        <v>430</v>
      </c>
      <c r="G3" s="25"/>
      <c r="H3" s="25"/>
      <c r="I3" s="26"/>
      <c r="J3" s="25"/>
      <c r="K3" s="25"/>
      <c r="M3" s="28"/>
      <c r="N3" s="25"/>
    </row>
    <row r="4" spans="1:14" ht="14.25" customHeight="1">
      <c r="A4" s="2" t="s">
        <v>117</v>
      </c>
      <c r="B4" s="2" t="s">
        <v>117</v>
      </c>
      <c r="C4" s="3" t="s">
        <v>8</v>
      </c>
      <c r="D4" s="3" t="s">
        <v>120</v>
      </c>
      <c r="E4" s="4">
        <v>424.87</v>
      </c>
      <c r="M4" s="29" t="s">
        <v>29</v>
      </c>
      <c r="N4" s="17">
        <f>SUM(N3:N3)</f>
        <v>0</v>
      </c>
    </row>
    <row r="5" spans="1:14" ht="14.25" customHeight="1">
      <c r="A5" s="33" t="s">
        <v>78</v>
      </c>
      <c r="B5" s="33"/>
      <c r="C5" s="33"/>
      <c r="D5" s="5" t="s">
        <v>9</v>
      </c>
      <c r="E5" s="6">
        <f>SUM(E3:E4)</f>
        <v>854.87</v>
      </c>
    </row>
    <row r="6" spans="1:14" ht="14.25" customHeight="1">
      <c r="A6" s="33"/>
      <c r="B6" s="33"/>
      <c r="C6" s="33"/>
      <c r="D6" s="5" t="s">
        <v>10</v>
      </c>
      <c r="E6" s="7">
        <v>0</v>
      </c>
    </row>
    <row r="7" spans="1:14" ht="14.25" customHeight="1">
      <c r="A7" s="33"/>
      <c r="B7" s="33"/>
      <c r="C7" s="33"/>
      <c r="D7" s="8" t="s">
        <v>11</v>
      </c>
      <c r="E7" s="9">
        <v>0</v>
      </c>
    </row>
    <row r="8" spans="1:14" ht="14.25" customHeight="1">
      <c r="A8" s="33"/>
      <c r="B8" s="33"/>
      <c r="C8" s="33"/>
      <c r="D8" s="10" t="s">
        <v>12</v>
      </c>
      <c r="E8" s="11">
        <f>(E5+E6)-E7</f>
        <v>854.87</v>
      </c>
    </row>
    <row r="9" spans="1:14" ht="14.25" customHeight="1">
      <c r="A9" s="33"/>
      <c r="B9" s="33"/>
      <c r="C9" s="33"/>
      <c r="D9" s="5" t="s">
        <v>13</v>
      </c>
      <c r="E9" s="7">
        <f>ROUNDUP(E8,0)</f>
        <v>855</v>
      </c>
    </row>
    <row r="10" spans="1:14" ht="14.25" customHeight="1">
      <c r="A10" s="33"/>
      <c r="B10" s="33"/>
      <c r="C10" s="33"/>
      <c r="D10" s="10" t="s">
        <v>14</v>
      </c>
      <c r="E10" s="12">
        <f>26000-E9</f>
        <v>25145</v>
      </c>
    </row>
    <row r="11" spans="1:14" ht="14.25" customHeight="1">
      <c r="A11" s="33"/>
      <c r="B11" s="33"/>
      <c r="C11" s="33"/>
      <c r="D11" s="13" t="s">
        <v>15</v>
      </c>
      <c r="E11" s="14">
        <v>25200</v>
      </c>
    </row>
    <row r="14" spans="1:14" ht="14.25" customHeight="1">
      <c r="A14" s="32" t="s">
        <v>16</v>
      </c>
      <c r="B14" s="32"/>
      <c r="C14" s="32"/>
      <c r="D14" s="32"/>
      <c r="E14" s="32"/>
    </row>
    <row r="15" spans="1:14" ht="14.25" customHeight="1">
      <c r="A15" s="1" t="s">
        <v>1</v>
      </c>
      <c r="B15" s="1" t="s">
        <v>2</v>
      </c>
      <c r="C15" s="1" t="s">
        <v>3</v>
      </c>
      <c r="D15" s="1" t="s">
        <v>4</v>
      </c>
      <c r="E15" s="1" t="s">
        <v>5</v>
      </c>
    </row>
    <row r="16" spans="1:14" ht="14.25" customHeight="1">
      <c r="A16" s="2" t="s">
        <v>79</v>
      </c>
      <c r="B16" s="2" t="s">
        <v>80</v>
      </c>
      <c r="C16" s="3" t="s">
        <v>8</v>
      </c>
      <c r="D16" s="3" t="s">
        <v>81</v>
      </c>
      <c r="E16" s="4">
        <v>556</v>
      </c>
    </row>
    <row r="17" spans="1:5" ht="14.25" customHeight="1">
      <c r="A17" s="2" t="s">
        <v>79</v>
      </c>
      <c r="B17" s="2" t="s">
        <v>80</v>
      </c>
      <c r="C17" s="3" t="s">
        <v>8</v>
      </c>
      <c r="D17" s="3" t="s">
        <v>82</v>
      </c>
      <c r="E17" s="4">
        <v>7000</v>
      </c>
    </row>
    <row r="18" spans="1:5" ht="14.25" customHeight="1">
      <c r="A18" s="2" t="s">
        <v>79</v>
      </c>
      <c r="B18" s="2" t="s">
        <v>80</v>
      </c>
      <c r="C18" s="3" t="s">
        <v>8</v>
      </c>
      <c r="D18" s="3" t="s">
        <v>83</v>
      </c>
      <c r="E18" s="4">
        <v>230</v>
      </c>
    </row>
    <row r="19" spans="1:5" ht="14.25" customHeight="1">
      <c r="A19" s="2" t="s">
        <v>79</v>
      </c>
      <c r="B19" s="2" t="s">
        <v>80</v>
      </c>
      <c r="C19" s="3" t="s">
        <v>8</v>
      </c>
      <c r="D19" s="3" t="s">
        <v>84</v>
      </c>
      <c r="E19" s="4">
        <v>1499.31</v>
      </c>
    </row>
    <row r="20" spans="1:5" ht="14.25" customHeight="1">
      <c r="A20" s="2" t="s">
        <v>80</v>
      </c>
      <c r="B20" s="2" t="s">
        <v>80</v>
      </c>
      <c r="C20" s="3" t="s">
        <v>8</v>
      </c>
      <c r="D20" s="3" t="s">
        <v>85</v>
      </c>
      <c r="E20" s="4">
        <v>228.33</v>
      </c>
    </row>
    <row r="21" spans="1:5" ht="14.25" customHeight="1">
      <c r="A21" s="2" t="s">
        <v>86</v>
      </c>
      <c r="B21" s="2" t="s">
        <v>86</v>
      </c>
      <c r="C21" s="3" t="s">
        <v>8</v>
      </c>
      <c r="D21" s="3" t="s">
        <v>87</v>
      </c>
      <c r="E21" s="4">
        <v>230</v>
      </c>
    </row>
    <row r="22" spans="1:5" ht="14.25" customHeight="1">
      <c r="A22" s="2" t="s">
        <v>86</v>
      </c>
      <c r="B22" s="2" t="s">
        <v>86</v>
      </c>
      <c r="C22" s="3" t="s">
        <v>8</v>
      </c>
      <c r="D22" s="3" t="s">
        <v>88</v>
      </c>
      <c r="E22" s="4">
        <v>325</v>
      </c>
    </row>
    <row r="23" spans="1:5" ht="14.25" customHeight="1">
      <c r="A23" s="2" t="s">
        <v>89</v>
      </c>
      <c r="B23" s="2" t="s">
        <v>89</v>
      </c>
      <c r="C23" s="3" t="s">
        <v>8</v>
      </c>
      <c r="D23" s="3" t="s">
        <v>90</v>
      </c>
      <c r="E23" s="4">
        <v>10000</v>
      </c>
    </row>
    <row r="24" spans="1:5" ht="14.25" customHeight="1">
      <c r="A24" s="2" t="s">
        <v>89</v>
      </c>
      <c r="B24" s="2" t="s">
        <v>89</v>
      </c>
      <c r="C24" s="3" t="s">
        <v>8</v>
      </c>
      <c r="D24" s="3" t="s">
        <v>90</v>
      </c>
      <c r="E24" s="4">
        <v>2000</v>
      </c>
    </row>
    <row r="25" spans="1:5" ht="14.25" customHeight="1">
      <c r="A25" s="2" t="s">
        <v>91</v>
      </c>
      <c r="B25" s="2" t="s">
        <v>92</v>
      </c>
      <c r="C25" s="3" t="s">
        <v>8</v>
      </c>
      <c r="D25" s="3" t="s">
        <v>93</v>
      </c>
      <c r="E25" s="4">
        <v>500</v>
      </c>
    </row>
    <row r="26" spans="1:5" ht="14.25" customHeight="1">
      <c r="A26" s="2" t="s">
        <v>91</v>
      </c>
      <c r="B26" s="2" t="s">
        <v>94</v>
      </c>
      <c r="C26" s="3" t="s">
        <v>8</v>
      </c>
      <c r="D26" s="3" t="s">
        <v>95</v>
      </c>
      <c r="E26" s="4">
        <v>7346</v>
      </c>
    </row>
    <row r="27" spans="1:5" ht="14.25" customHeight="1">
      <c r="A27" s="2" t="s">
        <v>96</v>
      </c>
      <c r="B27" s="2" t="s">
        <v>94</v>
      </c>
      <c r="C27" s="3" t="s">
        <v>8</v>
      </c>
      <c r="D27" s="3" t="s">
        <v>97</v>
      </c>
      <c r="E27" s="4">
        <v>20000</v>
      </c>
    </row>
    <row r="28" spans="1:5" ht="14.25" customHeight="1">
      <c r="A28" s="2" t="s">
        <v>96</v>
      </c>
      <c r="B28" s="2" t="s">
        <v>94</v>
      </c>
      <c r="C28" s="3" t="s">
        <v>8</v>
      </c>
      <c r="D28" s="3" t="s">
        <v>97</v>
      </c>
      <c r="E28" s="4">
        <v>3500</v>
      </c>
    </row>
    <row r="29" spans="1:5" ht="14.25" customHeight="1">
      <c r="A29" s="2" t="s">
        <v>94</v>
      </c>
      <c r="B29" s="2" t="s">
        <v>94</v>
      </c>
      <c r="C29" s="3" t="s">
        <v>8</v>
      </c>
      <c r="D29" s="3" t="s">
        <v>98</v>
      </c>
      <c r="E29" s="4">
        <v>1617.42</v>
      </c>
    </row>
    <row r="30" spans="1:5" ht="14.25" customHeight="1">
      <c r="A30" s="2" t="s">
        <v>94</v>
      </c>
      <c r="B30" s="2" t="s">
        <v>94</v>
      </c>
      <c r="C30" s="3" t="s">
        <v>8</v>
      </c>
      <c r="D30" s="3" t="s">
        <v>99</v>
      </c>
      <c r="E30" s="4">
        <v>98</v>
      </c>
    </row>
    <row r="31" spans="1:5" ht="14.25" customHeight="1">
      <c r="A31" s="2" t="s">
        <v>94</v>
      </c>
      <c r="B31" s="2" t="s">
        <v>94</v>
      </c>
      <c r="C31" s="3" t="s">
        <v>8</v>
      </c>
      <c r="D31" s="3" t="s">
        <v>100</v>
      </c>
      <c r="E31" s="4">
        <v>300</v>
      </c>
    </row>
    <row r="32" spans="1:5" ht="14.25" customHeight="1">
      <c r="A32" s="2" t="s">
        <v>94</v>
      </c>
      <c r="B32" s="2" t="s">
        <v>94</v>
      </c>
      <c r="C32" s="3" t="s">
        <v>8</v>
      </c>
      <c r="D32" s="3" t="s">
        <v>101</v>
      </c>
      <c r="E32" s="4">
        <v>2965.84</v>
      </c>
    </row>
    <row r="33" spans="1:5" ht="14.25" customHeight="1">
      <c r="A33" s="2" t="s">
        <v>94</v>
      </c>
      <c r="B33" s="2" t="s">
        <v>94</v>
      </c>
      <c r="C33" s="3" t="s">
        <v>8</v>
      </c>
      <c r="D33" s="3" t="s">
        <v>102</v>
      </c>
      <c r="E33" s="4">
        <v>98</v>
      </c>
    </row>
    <row r="34" spans="1:5" ht="14.25" customHeight="1">
      <c r="A34" s="2" t="s">
        <v>94</v>
      </c>
      <c r="B34" s="2" t="s">
        <v>94</v>
      </c>
      <c r="C34" s="3" t="s">
        <v>8</v>
      </c>
      <c r="D34" s="3" t="s">
        <v>103</v>
      </c>
      <c r="E34" s="4">
        <v>19803</v>
      </c>
    </row>
    <row r="35" spans="1:5" ht="14.25" customHeight="1">
      <c r="A35" s="2" t="s">
        <v>104</v>
      </c>
      <c r="B35" s="2" t="s">
        <v>104</v>
      </c>
      <c r="C35" s="3" t="s">
        <v>8</v>
      </c>
      <c r="D35" s="3" t="s">
        <v>105</v>
      </c>
      <c r="E35" s="4">
        <v>340</v>
      </c>
    </row>
    <row r="36" spans="1:5" ht="14.25" customHeight="1">
      <c r="A36" s="2" t="s">
        <v>106</v>
      </c>
      <c r="B36" s="2" t="s">
        <v>106</v>
      </c>
      <c r="C36" s="3" t="s">
        <v>8</v>
      </c>
      <c r="D36" s="3" t="s">
        <v>107</v>
      </c>
      <c r="E36" s="4">
        <v>130</v>
      </c>
    </row>
    <row r="37" spans="1:5" ht="14.25" customHeight="1">
      <c r="A37" s="2" t="s">
        <v>106</v>
      </c>
      <c r="B37" s="2" t="s">
        <v>106</v>
      </c>
      <c r="C37" s="3" t="s">
        <v>8</v>
      </c>
      <c r="D37" s="3" t="s">
        <v>108</v>
      </c>
      <c r="E37" s="4">
        <v>45</v>
      </c>
    </row>
    <row r="38" spans="1:5" ht="14.25" customHeight="1">
      <c r="A38" s="2" t="s">
        <v>106</v>
      </c>
      <c r="B38" s="2" t="s">
        <v>106</v>
      </c>
      <c r="C38" s="3" t="s">
        <v>8</v>
      </c>
      <c r="D38" s="3" t="s">
        <v>109</v>
      </c>
      <c r="E38" s="4">
        <v>3500</v>
      </c>
    </row>
    <row r="39" spans="1:5" ht="14.25" customHeight="1">
      <c r="A39" s="2" t="s">
        <v>110</v>
      </c>
      <c r="B39" s="2" t="s">
        <v>110</v>
      </c>
      <c r="C39" s="3" t="s">
        <v>8</v>
      </c>
      <c r="D39" s="3" t="s">
        <v>111</v>
      </c>
      <c r="E39" s="4">
        <v>126</v>
      </c>
    </row>
    <row r="40" spans="1:5" ht="14.25" customHeight="1">
      <c r="A40" s="2" t="s">
        <v>112</v>
      </c>
      <c r="B40" s="2" t="s">
        <v>112</v>
      </c>
      <c r="C40" s="3" t="s">
        <v>8</v>
      </c>
      <c r="D40" s="3" t="s">
        <v>113</v>
      </c>
      <c r="E40" s="4">
        <v>1132</v>
      </c>
    </row>
    <row r="41" spans="1:5" ht="14.25" customHeight="1">
      <c r="A41" s="2" t="s">
        <v>114</v>
      </c>
      <c r="B41" s="2" t="s">
        <v>115</v>
      </c>
      <c r="C41" s="3" t="s">
        <v>8</v>
      </c>
      <c r="D41" s="3" t="s">
        <v>116</v>
      </c>
      <c r="E41" s="4">
        <v>1045.99</v>
      </c>
    </row>
    <row r="42" spans="1:5" ht="14.25" customHeight="1">
      <c r="A42" s="2" t="s">
        <v>117</v>
      </c>
      <c r="B42" s="2" t="s">
        <v>117</v>
      </c>
      <c r="C42" s="3" t="s">
        <v>8</v>
      </c>
      <c r="D42" s="3" t="s">
        <v>119</v>
      </c>
      <c r="E42" s="4">
        <v>150</v>
      </c>
    </row>
    <row r="43" spans="1:5" ht="14.25" customHeight="1">
      <c r="A43" s="2" t="s">
        <v>117</v>
      </c>
      <c r="B43" s="2" t="s">
        <v>117</v>
      </c>
      <c r="C43" s="3" t="s">
        <v>8</v>
      </c>
      <c r="D43" s="3" t="s">
        <v>121</v>
      </c>
      <c r="E43" s="4">
        <v>2000</v>
      </c>
    </row>
    <row r="44" spans="1:5" ht="14.25" customHeight="1">
      <c r="A44" s="2" t="s">
        <v>122</v>
      </c>
      <c r="B44" s="2" t="s">
        <v>122</v>
      </c>
      <c r="C44" s="3" t="s">
        <v>8</v>
      </c>
      <c r="D44" s="3" t="s">
        <v>123</v>
      </c>
      <c r="E44" s="4">
        <v>3000</v>
      </c>
    </row>
    <row r="45" spans="1:5" ht="14.25" customHeight="1">
      <c r="A45" s="2" t="s">
        <v>124</v>
      </c>
      <c r="B45" s="2" t="s">
        <v>124</v>
      </c>
      <c r="C45" s="3" t="s">
        <v>8</v>
      </c>
      <c r="D45" s="3" t="s">
        <v>125</v>
      </c>
      <c r="E45" s="4">
        <v>240</v>
      </c>
    </row>
    <row r="46" spans="1:5" ht="14.25" customHeight="1">
      <c r="A46" s="2" t="s">
        <v>126</v>
      </c>
      <c r="B46" s="2" t="s">
        <v>126</v>
      </c>
      <c r="C46" s="3" t="s">
        <v>8</v>
      </c>
      <c r="D46" s="3" t="s">
        <v>127</v>
      </c>
      <c r="E46" s="4">
        <v>151</v>
      </c>
    </row>
    <row r="47" spans="1:5" ht="14.25" customHeight="1">
      <c r="A47" s="2" t="s">
        <v>126</v>
      </c>
      <c r="B47" s="2" t="s">
        <v>126</v>
      </c>
      <c r="C47" s="3" t="s">
        <v>8</v>
      </c>
      <c r="D47" s="3" t="s">
        <v>128</v>
      </c>
      <c r="E47" s="4">
        <v>150</v>
      </c>
    </row>
    <row r="48" spans="1:5" ht="14.25" customHeight="1">
      <c r="A48" s="2" t="s">
        <v>126</v>
      </c>
      <c r="B48" s="2" t="s">
        <v>126</v>
      </c>
      <c r="C48" s="3" t="s">
        <v>8</v>
      </c>
      <c r="D48" s="3" t="s">
        <v>129</v>
      </c>
      <c r="E48" s="4">
        <v>225</v>
      </c>
    </row>
    <row r="49" spans="1:5" ht="14.25" customHeight="1">
      <c r="A49" s="2" t="s">
        <v>130</v>
      </c>
      <c r="B49" s="2" t="s">
        <v>130</v>
      </c>
      <c r="C49" s="3" t="s">
        <v>8</v>
      </c>
      <c r="D49" s="3" t="s">
        <v>131</v>
      </c>
      <c r="E49" s="4">
        <v>255</v>
      </c>
    </row>
    <row r="50" spans="1:5" ht="14.25" customHeight="1">
      <c r="A50" s="2" t="s">
        <v>130</v>
      </c>
      <c r="B50" s="2" t="s">
        <v>130</v>
      </c>
      <c r="C50" s="3" t="s">
        <v>8</v>
      </c>
      <c r="D50" s="3" t="s">
        <v>132</v>
      </c>
      <c r="E50" s="4">
        <v>404</v>
      </c>
    </row>
    <row r="51" spans="1:5" ht="14.25" customHeight="1">
      <c r="A51" s="33" t="str">
        <f>A5</f>
        <v>For Month February 2018</v>
      </c>
      <c r="B51" s="33"/>
      <c r="C51" s="33"/>
      <c r="D51" s="15" t="s">
        <v>9</v>
      </c>
      <c r="E51" s="16">
        <f>SUM(E16:E50)</f>
        <v>91190.89</v>
      </c>
    </row>
    <row r="54" spans="1:5" ht="14.25" customHeight="1">
      <c r="A54" s="17" t="s">
        <v>20</v>
      </c>
      <c r="B54" s="17" t="s">
        <v>21</v>
      </c>
      <c r="C54" s="17" t="s">
        <v>16</v>
      </c>
      <c r="D54" s="18" t="s">
        <v>22</v>
      </c>
      <c r="E54" s="18" t="s">
        <v>23</v>
      </c>
    </row>
    <row r="55" spans="1:5" ht="14.25" customHeight="1">
      <c r="A55" s="4">
        <v>108700</v>
      </c>
      <c r="B55" s="19">
        <f>E11</f>
        <v>25200</v>
      </c>
      <c r="C55" s="20">
        <f>E51</f>
        <v>91190.89</v>
      </c>
      <c r="D55" s="15">
        <f>A55-(B55+C55)</f>
        <v>-7690.8899999999994</v>
      </c>
      <c r="E55" s="24">
        <f>D55+'January 2018'!E42</f>
        <v>192692.03999999998</v>
      </c>
    </row>
  </sheetData>
  <mergeCells count="5">
    <mergeCell ref="A1:E1"/>
    <mergeCell ref="M1:N1"/>
    <mergeCell ref="A5:C11"/>
    <mergeCell ref="A14:E14"/>
    <mergeCell ref="A51:C5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6"/>
  <sheetViews>
    <sheetView tabSelected="1" topLeftCell="A40" workbookViewId="0">
      <selection activeCell="E67" sqref="E67"/>
    </sheetView>
  </sheetViews>
  <sheetFormatPr defaultRowHeight="14.25" customHeight="1"/>
  <cols>
    <col min="1" max="1" width="10.7109375" bestFit="1" customWidth="1"/>
    <col min="2" max="2" width="15.85546875" bestFit="1" customWidth="1"/>
    <col min="3" max="3" width="15.7109375" bestFit="1" customWidth="1"/>
    <col min="4" max="4" width="24" bestFit="1" customWidth="1"/>
    <col min="5" max="5" width="24.42578125" bestFit="1" customWidth="1"/>
    <col min="7" max="7" width="7.140625" bestFit="1" customWidth="1"/>
    <col min="8" max="8" width="5.5703125" bestFit="1" customWidth="1"/>
    <col min="9" max="9" width="10.7109375" bestFit="1" customWidth="1"/>
    <col min="10" max="10" width="8.140625" bestFit="1" customWidth="1"/>
    <col min="11" max="11" width="11.85546875" bestFit="1" customWidth="1"/>
    <col min="13" max="13" width="11.42578125" customWidth="1"/>
    <col min="14" max="14" width="17.7109375" customWidth="1"/>
  </cols>
  <sheetData>
    <row r="1" spans="1:14" ht="14.25" customHeight="1">
      <c r="A1" s="32" t="s">
        <v>0</v>
      </c>
      <c r="B1" s="32"/>
      <c r="C1" s="32"/>
      <c r="D1" s="32"/>
      <c r="E1" s="32"/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M1" s="30" t="s">
        <v>10</v>
      </c>
      <c r="N1" s="31"/>
    </row>
    <row r="2" spans="1:14" ht="14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G2" s="25"/>
      <c r="H2" s="25"/>
      <c r="I2" s="26"/>
      <c r="J2" s="25"/>
      <c r="K2" s="25"/>
      <c r="M2" s="27" t="s">
        <v>33</v>
      </c>
      <c r="N2" s="27" t="s">
        <v>34</v>
      </c>
    </row>
    <row r="3" spans="1:14" ht="14.25" customHeight="1">
      <c r="A3" s="2" t="s">
        <v>134</v>
      </c>
      <c r="B3" s="2" t="s">
        <v>134</v>
      </c>
      <c r="C3" s="3" t="s">
        <v>8</v>
      </c>
      <c r="D3" s="3" t="s">
        <v>139</v>
      </c>
      <c r="E3" s="4">
        <v>410</v>
      </c>
      <c r="G3" s="25"/>
      <c r="H3" s="25"/>
      <c r="I3" s="26"/>
      <c r="J3" s="25"/>
      <c r="K3" s="25"/>
      <c r="M3" s="28"/>
      <c r="N3" s="25"/>
    </row>
    <row r="4" spans="1:14" ht="14.25" customHeight="1">
      <c r="A4" s="2" t="s">
        <v>134</v>
      </c>
      <c r="B4" s="2" t="s">
        <v>134</v>
      </c>
      <c r="C4" s="3" t="s">
        <v>8</v>
      </c>
      <c r="D4" s="3" t="s">
        <v>140</v>
      </c>
      <c r="E4" s="4">
        <v>130</v>
      </c>
      <c r="M4" s="29" t="s">
        <v>29</v>
      </c>
      <c r="N4" s="17">
        <f>SUM(N3:N3)</f>
        <v>0</v>
      </c>
    </row>
    <row r="5" spans="1:14" ht="14.25" customHeight="1">
      <c r="A5" s="2" t="s">
        <v>144</v>
      </c>
      <c r="B5" s="2" t="s">
        <v>144</v>
      </c>
      <c r="C5" s="3" t="s">
        <v>8</v>
      </c>
      <c r="D5" s="3" t="s">
        <v>147</v>
      </c>
      <c r="E5" s="4">
        <v>7499.81</v>
      </c>
    </row>
    <row r="6" spans="1:14" ht="14.25" customHeight="1">
      <c r="A6" s="2" t="s">
        <v>200</v>
      </c>
      <c r="B6" s="2" t="s">
        <v>200</v>
      </c>
      <c r="C6" s="3" t="s">
        <v>8</v>
      </c>
      <c r="D6" s="3" t="s">
        <v>201</v>
      </c>
      <c r="E6" s="4">
        <v>60</v>
      </c>
    </row>
    <row r="7" spans="1:14" ht="14.25" customHeight="1">
      <c r="A7" s="2" t="s">
        <v>200</v>
      </c>
      <c r="B7" s="2" t="s">
        <v>200</v>
      </c>
      <c r="C7" s="3" t="s">
        <v>8</v>
      </c>
      <c r="D7" s="3" t="s">
        <v>202</v>
      </c>
      <c r="E7" s="4">
        <v>444</v>
      </c>
    </row>
    <row r="8" spans="1:14" ht="14.25" customHeight="1">
      <c r="A8" s="2" t="s">
        <v>200</v>
      </c>
      <c r="B8" s="2" t="s">
        <v>200</v>
      </c>
      <c r="C8" s="3" t="s">
        <v>8</v>
      </c>
      <c r="D8" s="3" t="s">
        <v>204</v>
      </c>
      <c r="E8" s="4">
        <v>710</v>
      </c>
    </row>
    <row r="9" spans="1:14" ht="14.25" customHeight="1">
      <c r="A9" s="33" t="s">
        <v>133</v>
      </c>
      <c r="B9" s="33"/>
      <c r="C9" s="33"/>
      <c r="D9" s="5" t="s">
        <v>9</v>
      </c>
      <c r="E9" s="6">
        <f>SUM(E3:E8)</f>
        <v>9253.8100000000013</v>
      </c>
    </row>
    <row r="10" spans="1:14" ht="14.25" customHeight="1">
      <c r="A10" s="33"/>
      <c r="B10" s="33"/>
      <c r="C10" s="33"/>
      <c r="D10" s="5" t="s">
        <v>10</v>
      </c>
      <c r="E10" s="7">
        <v>0</v>
      </c>
    </row>
    <row r="11" spans="1:14" ht="14.25" customHeight="1">
      <c r="A11" s="33"/>
      <c r="B11" s="33"/>
      <c r="C11" s="33"/>
      <c r="D11" s="8" t="s">
        <v>11</v>
      </c>
      <c r="E11" s="9">
        <v>0</v>
      </c>
    </row>
    <row r="12" spans="1:14" ht="14.25" customHeight="1">
      <c r="A12" s="33"/>
      <c r="B12" s="33"/>
      <c r="C12" s="33"/>
      <c r="D12" s="10" t="s">
        <v>12</v>
      </c>
      <c r="E12" s="11">
        <f>(E9+E10)-E11</f>
        <v>9253.8100000000013</v>
      </c>
    </row>
    <row r="13" spans="1:14" ht="14.25" customHeight="1">
      <c r="A13" s="33"/>
      <c r="B13" s="33"/>
      <c r="C13" s="33"/>
      <c r="D13" s="5" t="s">
        <v>13</v>
      </c>
      <c r="E13" s="7">
        <f>ROUNDUP(E12,0)</f>
        <v>9254</v>
      </c>
    </row>
    <row r="14" spans="1:14" ht="14.25" customHeight="1">
      <c r="A14" s="33"/>
      <c r="B14" s="33"/>
      <c r="C14" s="33"/>
      <c r="D14" s="10" t="s">
        <v>14</v>
      </c>
      <c r="E14" s="12">
        <f>26000-E13</f>
        <v>16746</v>
      </c>
    </row>
    <row r="15" spans="1:14" ht="14.25" customHeight="1">
      <c r="A15" s="33"/>
      <c r="B15" s="33"/>
      <c r="C15" s="33"/>
      <c r="D15" s="13" t="s">
        <v>15</v>
      </c>
      <c r="E15" s="14">
        <v>25000</v>
      </c>
    </row>
    <row r="18" spans="1:5" ht="14.25" customHeight="1">
      <c r="A18" s="32" t="s">
        <v>16</v>
      </c>
      <c r="B18" s="32"/>
      <c r="C18" s="32"/>
      <c r="D18" s="32"/>
      <c r="E18" s="32"/>
    </row>
    <row r="19" spans="1:5" ht="14.25" customHeight="1">
      <c r="A19" s="1" t="s">
        <v>1</v>
      </c>
      <c r="B19" s="1" t="s">
        <v>2</v>
      </c>
      <c r="C19" s="1" t="s">
        <v>3</v>
      </c>
      <c r="D19" s="1" t="s">
        <v>4</v>
      </c>
      <c r="E19" s="1" t="s">
        <v>5</v>
      </c>
    </row>
    <row r="20" spans="1:5" ht="14.25" customHeight="1">
      <c r="A20" s="2" t="s">
        <v>134</v>
      </c>
      <c r="B20" s="2" t="s">
        <v>134</v>
      </c>
      <c r="C20" s="3" t="s">
        <v>8</v>
      </c>
      <c r="D20" s="3" t="s">
        <v>135</v>
      </c>
      <c r="E20" s="4">
        <v>70</v>
      </c>
    </row>
    <row r="21" spans="1:5" ht="14.25" customHeight="1">
      <c r="A21" s="2" t="s">
        <v>134</v>
      </c>
      <c r="B21" s="2" t="s">
        <v>134</v>
      </c>
      <c r="C21" s="3" t="s">
        <v>8</v>
      </c>
      <c r="D21" s="3" t="s">
        <v>136</v>
      </c>
      <c r="E21" s="4">
        <v>500</v>
      </c>
    </row>
    <row r="22" spans="1:5" ht="14.25" customHeight="1">
      <c r="A22" s="2" t="s">
        <v>134</v>
      </c>
      <c r="B22" s="2" t="s">
        <v>134</v>
      </c>
      <c r="C22" s="3" t="s">
        <v>8</v>
      </c>
      <c r="D22" s="3" t="s">
        <v>137</v>
      </c>
      <c r="E22" s="4">
        <v>5500</v>
      </c>
    </row>
    <row r="23" spans="1:5" ht="14.25" customHeight="1">
      <c r="A23" s="2" t="s">
        <v>134</v>
      </c>
      <c r="B23" s="2" t="s">
        <v>134</v>
      </c>
      <c r="C23" s="3" t="s">
        <v>8</v>
      </c>
      <c r="D23" s="3" t="s">
        <v>138</v>
      </c>
      <c r="E23" s="4">
        <v>699</v>
      </c>
    </row>
    <row r="24" spans="1:5" ht="14.25" customHeight="1">
      <c r="A24" s="2" t="s">
        <v>141</v>
      </c>
      <c r="B24" s="2" t="s">
        <v>141</v>
      </c>
      <c r="C24" s="3" t="s">
        <v>8</v>
      </c>
      <c r="D24" s="3" t="s">
        <v>142</v>
      </c>
      <c r="E24" s="4">
        <v>2302</v>
      </c>
    </row>
    <row r="25" spans="1:5" ht="14.25" customHeight="1">
      <c r="A25" s="2" t="s">
        <v>141</v>
      </c>
      <c r="B25" s="2" t="s">
        <v>141</v>
      </c>
      <c r="C25" s="3" t="s">
        <v>8</v>
      </c>
      <c r="D25" s="3" t="s">
        <v>143</v>
      </c>
      <c r="E25" s="4">
        <v>932</v>
      </c>
    </row>
    <row r="26" spans="1:5" ht="14.25" customHeight="1">
      <c r="A26" s="2" t="s">
        <v>144</v>
      </c>
      <c r="B26" s="2" t="s">
        <v>145</v>
      </c>
      <c r="C26" s="3" t="s">
        <v>8</v>
      </c>
      <c r="D26" s="3" t="s">
        <v>146</v>
      </c>
      <c r="E26" s="4">
        <v>600</v>
      </c>
    </row>
    <row r="27" spans="1:5" ht="14.25" customHeight="1">
      <c r="A27" s="2" t="s">
        <v>148</v>
      </c>
      <c r="B27" s="2" t="s">
        <v>148</v>
      </c>
      <c r="C27" s="3" t="s">
        <v>8</v>
      </c>
      <c r="D27" s="3" t="s">
        <v>149</v>
      </c>
      <c r="E27" s="4">
        <v>260</v>
      </c>
    </row>
    <row r="28" spans="1:5" ht="14.25" customHeight="1">
      <c r="A28" s="2" t="s">
        <v>148</v>
      </c>
      <c r="B28" s="2" t="s">
        <v>148</v>
      </c>
      <c r="C28" s="3" t="s">
        <v>8</v>
      </c>
      <c r="D28" s="3" t="s">
        <v>150</v>
      </c>
      <c r="E28" s="4">
        <v>199</v>
      </c>
    </row>
    <row r="29" spans="1:5" ht="14.25" customHeight="1">
      <c r="A29" s="2" t="s">
        <v>151</v>
      </c>
      <c r="B29" s="2" t="s">
        <v>151</v>
      </c>
      <c r="C29" s="3" t="s">
        <v>8</v>
      </c>
      <c r="D29" s="3" t="s">
        <v>152</v>
      </c>
      <c r="E29" s="4">
        <v>109.71</v>
      </c>
    </row>
    <row r="30" spans="1:5" ht="14.25" customHeight="1">
      <c r="A30" s="2" t="s">
        <v>151</v>
      </c>
      <c r="B30" s="2" t="s">
        <v>151</v>
      </c>
      <c r="C30" s="3" t="s">
        <v>8</v>
      </c>
      <c r="D30" s="3" t="s">
        <v>153</v>
      </c>
      <c r="E30" s="4">
        <v>540</v>
      </c>
    </row>
    <row r="31" spans="1:5" ht="14.25" customHeight="1">
      <c r="A31" s="2" t="s">
        <v>154</v>
      </c>
      <c r="B31" s="2" t="s">
        <v>154</v>
      </c>
      <c r="C31" s="3" t="s">
        <v>8</v>
      </c>
      <c r="D31" s="3" t="s">
        <v>155</v>
      </c>
      <c r="E31" s="4">
        <v>19803</v>
      </c>
    </row>
    <row r="32" spans="1:5" ht="14.25" customHeight="1">
      <c r="A32" s="2" t="s">
        <v>154</v>
      </c>
      <c r="B32" s="2" t="s">
        <v>154</v>
      </c>
      <c r="C32" s="3" t="s">
        <v>8</v>
      </c>
      <c r="D32" s="3" t="s">
        <v>156</v>
      </c>
      <c r="E32" s="4">
        <v>2965.84</v>
      </c>
    </row>
    <row r="33" spans="1:5" ht="14.25" customHeight="1">
      <c r="A33" s="2" t="s">
        <v>157</v>
      </c>
      <c r="B33" s="2" t="s">
        <v>157</v>
      </c>
      <c r="C33" s="3" t="s">
        <v>8</v>
      </c>
      <c r="D33" s="3" t="s">
        <v>158</v>
      </c>
      <c r="E33" s="4">
        <v>399</v>
      </c>
    </row>
    <row r="34" spans="1:5" ht="14.25" customHeight="1">
      <c r="A34" s="2" t="s">
        <v>157</v>
      </c>
      <c r="B34" s="2" t="s">
        <v>157</v>
      </c>
      <c r="C34" s="3" t="s">
        <v>8</v>
      </c>
      <c r="D34" s="3" t="s">
        <v>159</v>
      </c>
      <c r="E34" s="4">
        <v>789</v>
      </c>
    </row>
    <row r="35" spans="1:5" ht="14.25" customHeight="1">
      <c r="A35" s="2" t="s">
        <v>160</v>
      </c>
      <c r="B35" s="2" t="s">
        <v>160</v>
      </c>
      <c r="C35" s="3" t="s">
        <v>8</v>
      </c>
      <c r="D35" s="3" t="s">
        <v>161</v>
      </c>
      <c r="E35" s="4">
        <v>150</v>
      </c>
    </row>
    <row r="36" spans="1:5" ht="14.25" customHeight="1">
      <c r="A36" s="2" t="s">
        <v>162</v>
      </c>
      <c r="B36" s="2" t="s">
        <v>162</v>
      </c>
      <c r="C36" s="3" t="s">
        <v>8</v>
      </c>
      <c r="D36" s="3" t="s">
        <v>163</v>
      </c>
      <c r="E36" s="4">
        <v>150</v>
      </c>
    </row>
    <row r="37" spans="1:5" ht="14.25" customHeight="1">
      <c r="A37" s="2" t="s">
        <v>164</v>
      </c>
      <c r="B37" s="2" t="s">
        <v>164</v>
      </c>
      <c r="C37" s="3" t="s">
        <v>8</v>
      </c>
      <c r="D37" s="3" t="s">
        <v>165</v>
      </c>
      <c r="E37" s="4">
        <v>500</v>
      </c>
    </row>
    <row r="38" spans="1:5" ht="14.25" customHeight="1">
      <c r="A38" s="2" t="s">
        <v>166</v>
      </c>
      <c r="B38" s="2" t="s">
        <v>166</v>
      </c>
      <c r="C38" s="3" t="s">
        <v>8</v>
      </c>
      <c r="D38" s="3" t="s">
        <v>167</v>
      </c>
      <c r="E38" s="4">
        <v>399</v>
      </c>
    </row>
    <row r="39" spans="1:5" ht="14.25" customHeight="1">
      <c r="A39" s="2" t="s">
        <v>168</v>
      </c>
      <c r="B39" s="2" t="s">
        <v>169</v>
      </c>
      <c r="C39" s="3" t="s">
        <v>8</v>
      </c>
      <c r="D39" s="3" t="s">
        <v>170</v>
      </c>
      <c r="E39" s="4">
        <v>838</v>
      </c>
    </row>
    <row r="40" spans="1:5" ht="14.25" customHeight="1">
      <c r="A40" s="2" t="s">
        <v>169</v>
      </c>
      <c r="B40" s="2" t="s">
        <v>169</v>
      </c>
      <c r="C40" s="3" t="s">
        <v>8</v>
      </c>
      <c r="D40" s="3" t="s">
        <v>171</v>
      </c>
      <c r="E40" s="4">
        <v>310</v>
      </c>
    </row>
    <row r="41" spans="1:5" ht="14.25" customHeight="1">
      <c r="A41" s="2" t="s">
        <v>172</v>
      </c>
      <c r="B41" s="2" t="s">
        <v>172</v>
      </c>
      <c r="C41" s="3" t="s">
        <v>8</v>
      </c>
      <c r="D41" s="3" t="s">
        <v>173</v>
      </c>
      <c r="E41" s="4">
        <v>245</v>
      </c>
    </row>
    <row r="42" spans="1:5" ht="14.25" customHeight="1">
      <c r="A42" s="2" t="s">
        <v>172</v>
      </c>
      <c r="B42" s="2" t="s">
        <v>172</v>
      </c>
      <c r="C42" s="3" t="s">
        <v>8</v>
      </c>
      <c r="D42" s="3" t="s">
        <v>174</v>
      </c>
      <c r="E42" s="4">
        <v>925</v>
      </c>
    </row>
    <row r="43" spans="1:5" ht="14.25" customHeight="1">
      <c r="A43" s="2" t="s">
        <v>175</v>
      </c>
      <c r="B43" s="2" t="s">
        <v>175</v>
      </c>
      <c r="C43" s="3" t="s">
        <v>8</v>
      </c>
      <c r="D43" s="3" t="s">
        <v>176</v>
      </c>
      <c r="E43" s="4">
        <v>415</v>
      </c>
    </row>
    <row r="44" spans="1:5" ht="14.25" customHeight="1">
      <c r="A44" s="2" t="s">
        <v>175</v>
      </c>
      <c r="B44" s="2" t="s">
        <v>175</v>
      </c>
      <c r="C44" s="3" t="s">
        <v>8</v>
      </c>
      <c r="D44" s="3" t="s">
        <v>177</v>
      </c>
      <c r="E44" s="4">
        <v>20000</v>
      </c>
    </row>
    <row r="45" spans="1:5" ht="14.25" customHeight="1">
      <c r="A45" s="2" t="s">
        <v>175</v>
      </c>
      <c r="B45" s="2" t="s">
        <v>175</v>
      </c>
      <c r="C45" s="3" t="s">
        <v>8</v>
      </c>
      <c r="D45" s="3" t="s">
        <v>177</v>
      </c>
      <c r="E45" s="4">
        <v>3000</v>
      </c>
    </row>
    <row r="46" spans="1:5" ht="14.25" customHeight="1">
      <c r="A46" s="2" t="s">
        <v>178</v>
      </c>
      <c r="B46" s="2" t="s">
        <v>178</v>
      </c>
      <c r="C46" s="3" t="s">
        <v>8</v>
      </c>
      <c r="D46" s="3" t="s">
        <v>179</v>
      </c>
      <c r="E46" s="4">
        <v>1048</v>
      </c>
    </row>
    <row r="47" spans="1:5" ht="14.25" customHeight="1">
      <c r="A47" s="2" t="s">
        <v>180</v>
      </c>
      <c r="B47" s="2" t="s">
        <v>181</v>
      </c>
      <c r="C47" s="3" t="s">
        <v>8</v>
      </c>
      <c r="D47" s="3" t="s">
        <v>182</v>
      </c>
      <c r="E47" s="4">
        <v>160</v>
      </c>
    </row>
    <row r="48" spans="1:5" ht="14.25" customHeight="1">
      <c r="A48" s="2" t="s">
        <v>180</v>
      </c>
      <c r="B48" s="2" t="s">
        <v>181</v>
      </c>
      <c r="C48" s="3" t="s">
        <v>8</v>
      </c>
      <c r="D48" s="3" t="s">
        <v>183</v>
      </c>
      <c r="E48" s="4">
        <v>160</v>
      </c>
    </row>
    <row r="49" spans="1:5" ht="14.25" customHeight="1">
      <c r="A49" s="2" t="s">
        <v>180</v>
      </c>
      <c r="B49" s="2" t="s">
        <v>181</v>
      </c>
      <c r="C49" s="3" t="s">
        <v>8</v>
      </c>
      <c r="D49" s="3" t="s">
        <v>184</v>
      </c>
      <c r="E49" s="4">
        <v>7000</v>
      </c>
    </row>
    <row r="50" spans="1:5" ht="14.25" customHeight="1">
      <c r="A50" s="2" t="s">
        <v>181</v>
      </c>
      <c r="B50" s="2" t="s">
        <v>181</v>
      </c>
      <c r="C50" s="3" t="s">
        <v>8</v>
      </c>
      <c r="D50" s="3" t="s">
        <v>185</v>
      </c>
      <c r="E50" s="4">
        <v>315</v>
      </c>
    </row>
    <row r="51" spans="1:5" ht="14.25" customHeight="1">
      <c r="A51" s="2" t="s">
        <v>181</v>
      </c>
      <c r="B51" s="2" t="s">
        <v>181</v>
      </c>
      <c r="C51" s="3" t="s">
        <v>8</v>
      </c>
      <c r="D51" s="3" t="s">
        <v>186</v>
      </c>
      <c r="E51" s="4">
        <v>230</v>
      </c>
    </row>
    <row r="52" spans="1:5" ht="14.25" customHeight="1">
      <c r="A52" s="2" t="s">
        <v>187</v>
      </c>
      <c r="B52" s="2" t="s">
        <v>187</v>
      </c>
      <c r="C52" s="3" t="s">
        <v>8</v>
      </c>
      <c r="D52" s="3" t="s">
        <v>188</v>
      </c>
      <c r="E52" s="4">
        <v>32</v>
      </c>
    </row>
    <row r="53" spans="1:5" ht="14.25" customHeight="1">
      <c r="A53" s="2" t="s">
        <v>187</v>
      </c>
      <c r="B53" s="2" t="s">
        <v>187</v>
      </c>
      <c r="C53" s="3" t="s">
        <v>8</v>
      </c>
      <c r="D53" s="3" t="s">
        <v>189</v>
      </c>
      <c r="E53" s="4">
        <v>150</v>
      </c>
    </row>
    <row r="54" spans="1:5" ht="14.25" customHeight="1">
      <c r="A54" s="2" t="s">
        <v>190</v>
      </c>
      <c r="B54" s="2" t="s">
        <v>190</v>
      </c>
      <c r="C54" s="3" t="s">
        <v>8</v>
      </c>
      <c r="D54" s="3" t="s">
        <v>191</v>
      </c>
      <c r="E54" s="4">
        <v>2500</v>
      </c>
    </row>
    <row r="55" spans="1:5" ht="14.25" customHeight="1">
      <c r="A55" s="2" t="s">
        <v>190</v>
      </c>
      <c r="B55" s="2" t="s">
        <v>190</v>
      </c>
      <c r="C55" s="3" t="s">
        <v>8</v>
      </c>
      <c r="D55" s="3" t="s">
        <v>192</v>
      </c>
      <c r="E55" s="4">
        <v>2000</v>
      </c>
    </row>
    <row r="56" spans="1:5" ht="14.25" customHeight="1">
      <c r="A56" s="2" t="s">
        <v>193</v>
      </c>
      <c r="B56" s="2" t="s">
        <v>193</v>
      </c>
      <c r="C56" s="3" t="s">
        <v>8</v>
      </c>
      <c r="D56" s="3" t="s">
        <v>194</v>
      </c>
      <c r="E56" s="4">
        <v>265</v>
      </c>
    </row>
    <row r="57" spans="1:5" ht="14.25" customHeight="1">
      <c r="A57" s="2" t="s">
        <v>195</v>
      </c>
      <c r="B57" s="2" t="s">
        <v>195</v>
      </c>
      <c r="C57" s="3" t="s">
        <v>8</v>
      </c>
      <c r="D57" s="3" t="s">
        <v>196</v>
      </c>
      <c r="E57" s="4">
        <v>2600</v>
      </c>
    </row>
    <row r="58" spans="1:5" ht="14.25" customHeight="1">
      <c r="A58" s="2" t="s">
        <v>195</v>
      </c>
      <c r="B58" s="2" t="s">
        <v>195</v>
      </c>
      <c r="C58" s="3" t="s">
        <v>8</v>
      </c>
      <c r="D58" s="3" t="s">
        <v>197</v>
      </c>
      <c r="E58" s="4">
        <v>549</v>
      </c>
    </row>
    <row r="59" spans="1:5" ht="14.25" customHeight="1">
      <c r="A59" s="2" t="s">
        <v>195</v>
      </c>
      <c r="B59" s="2" t="s">
        <v>195</v>
      </c>
      <c r="C59" s="3" t="s">
        <v>8</v>
      </c>
      <c r="D59" s="3" t="s">
        <v>198</v>
      </c>
      <c r="E59" s="4">
        <v>220</v>
      </c>
    </row>
    <row r="60" spans="1:5" ht="14.25" customHeight="1">
      <c r="A60" s="2" t="s">
        <v>195</v>
      </c>
      <c r="B60" s="2" t="s">
        <v>195</v>
      </c>
      <c r="C60" s="3" t="s">
        <v>8</v>
      </c>
      <c r="D60" s="3" t="s">
        <v>199</v>
      </c>
      <c r="E60" s="4">
        <v>501</v>
      </c>
    </row>
    <row r="61" spans="1:5" ht="14.25" customHeight="1">
      <c r="A61" s="2" t="s">
        <v>200</v>
      </c>
      <c r="B61" s="2" t="s">
        <v>200</v>
      </c>
      <c r="C61" s="3" t="s">
        <v>8</v>
      </c>
      <c r="D61" s="3" t="s">
        <v>203</v>
      </c>
      <c r="E61" s="4">
        <v>310</v>
      </c>
    </row>
    <row r="62" spans="1:5" ht="14.25" customHeight="1">
      <c r="A62" s="33" t="str">
        <f>A9</f>
        <v>For Month March 2018</v>
      </c>
      <c r="B62" s="33"/>
      <c r="C62" s="33"/>
      <c r="D62" s="15" t="s">
        <v>9</v>
      </c>
      <c r="E62" s="16">
        <f>SUM(E20:E61)</f>
        <v>80640.55</v>
      </c>
    </row>
    <row r="65" spans="1:5" ht="14.25" customHeight="1">
      <c r="A65" s="17" t="s">
        <v>20</v>
      </c>
      <c r="B65" s="17" t="s">
        <v>21</v>
      </c>
      <c r="C65" s="17" t="s">
        <v>16</v>
      </c>
      <c r="D65" s="18" t="s">
        <v>22</v>
      </c>
      <c r="E65" s="18" t="s">
        <v>23</v>
      </c>
    </row>
    <row r="66" spans="1:5" ht="14.25" customHeight="1">
      <c r="A66" s="4">
        <v>108700</v>
      </c>
      <c r="B66" s="19">
        <f>E15</f>
        <v>25000</v>
      </c>
      <c r="C66" s="20">
        <f>E62</f>
        <v>80640.55</v>
      </c>
      <c r="D66" s="15">
        <f>A66-(B66+C66)</f>
        <v>3059.4499999999971</v>
      </c>
      <c r="E66" s="24">
        <f>D66+'February 2018'!E55</f>
        <v>195751.49</v>
      </c>
    </row>
  </sheetData>
  <mergeCells count="5">
    <mergeCell ref="A1:E1"/>
    <mergeCell ref="M1:N1"/>
    <mergeCell ref="A9:C15"/>
    <mergeCell ref="A18:E18"/>
    <mergeCell ref="A62:C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January 2018</vt:lpstr>
      <vt:lpstr>February 2018</vt:lpstr>
      <vt:lpstr>March 2018</vt:lpstr>
    </vt:vector>
  </TitlesOfParts>
  <Company>Deftones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baali</dc:creator>
  <cp:lastModifiedBy>belu</cp:lastModifiedBy>
  <dcterms:created xsi:type="dcterms:W3CDTF">2018-02-04T17:43:29Z</dcterms:created>
  <dcterms:modified xsi:type="dcterms:W3CDTF">2018-04-20T17:59:32Z</dcterms:modified>
</cp:coreProperties>
</file>